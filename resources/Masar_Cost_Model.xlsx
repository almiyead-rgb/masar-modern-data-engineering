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7ae4283c5b4a83" /></Relationships>
</file>

<file path=xl/workbook.xml><?xml version="1.0" encoding="utf-8"?>
<x:workbook xmlns:x="http://schemas.openxmlformats.org/spreadsheetml/2006/main">
  <x:sheets>
    <x:sheet xmlns:r="http://schemas.openxmlformats.org/officeDocument/2006/relationships" name="Inputs" sheetId="1" r:id="R14a9098467874535"/>
    <x:sheet xmlns:r="http://schemas.openxmlformats.org/officeDocument/2006/relationships" name="Model" sheetId="2" r:id="R1a92585ee0154819"/>
    <x:sheet xmlns:r="http://schemas.openxmlformats.org/officeDocument/2006/relationships" name="Sensitivity" sheetId="3" r:id="Rb89ed669e0a844fc"/>
    <x:sheet xmlns:r="http://schemas.openxmlformats.org/officeDocument/2006/relationships" name="Read Me" sheetId="4" r:id="Re3829fe0213945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Red](#,##0.00);0.00"/>
    <x:numFmt numFmtId="203" formatCode="0.0%;[Red](0.0%)"/>
  </x:numFmts>
  <x:fonts count="6">
    <x:font>
      <x:sz val="11"/>
      <x:name val="Carlito"/>
    </x:font>
    <x:font>
      <x:sz val="11"/>
      <x:color rgb="FF17324D"/>
      <x:name val="Arial"/>
    </x:font>
    <x:font>
      <x:b/>
      <x:sz val="18"/>
      <x:color rgb="FFFFFFFF"/>
      <x:name val="Arial"/>
    </x:font>
    <x:font>
      <x:b/>
      <x:sz val="11"/>
      <x:color rgb="FFFFFFFF"/>
      <x:name val="Arial"/>
    </x:font>
    <x:font>
      <x:b/>
      <x:sz val="11"/>
      <x:color rgb="FF17324D"/>
      <x:name val="Arial"/>
    </x:font>
    <x:font>
      <x:b/>
      <x:sz val="12"/>
      <x:color rgb="FF17324D"/>
      <x:name val="Arial"/>
    </x:font>
  </x:fonts>
  <x:fills count="7">
    <x:fill>
      <x:patternFill patternType="none"/>
    </x:fill>
    <x:fill>
      <x:patternFill patternType="gray125"/>
    </x:fill>
    <x:fill>
      <x:patternFill patternType="solid">
        <x:fgColor rgb="FF173551"/>
      </x:patternFill>
    </x:fill>
    <x:fill>
      <x:patternFill patternType="solid">
        <x:fgColor rgb="FFFFF1CC"/>
      </x:patternFill>
    </x:fill>
    <x:fill>
      <x:patternFill patternType="solid">
        <x:fgColor rgb="FF0F766E"/>
      </x:patternFill>
    </x:fill>
    <x:fill>
      <x:patternFill patternType="solid">
        <x:fgColor rgb="FFE3F4ED"/>
      </x:patternFill>
    </x:fill>
    <x:fill>
      <x:patternFill patternType="solid">
        <x:fgColor rgb="FFEDF4F8"/>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1" xfId="0" applyNumberFormat="1" applyFont="1" applyFill="1" applyBorder="1" applyAlignment="1">
      <x:alignment horizontal="left" wrapText="1"/>
    </x:xf>
    <x:xf numFmtId="0" fontId="1" fillId="0" borderId="0" xfId="0" applyNumberFormat="1" applyFont="1" applyFill="1" applyBorder="1" applyAlignment="1">
      <x:alignment horizontal="right" wrapText="1"/>
    </x:xf>
    <x:xf numFmtId="0" fontId="1" fillId="0" borderId="1" xfId="0" applyNumberFormat="1" applyFont="1" applyFill="1" applyBorder="1" applyAlignment="1">
      <x:alignment horizontal="righ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righ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right"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right" vertical="center"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right" wrapText="1"/>
    </x:xf>
    <x:xf numFmtId="0" fontId="2" fillId="2" borderId="1" xfId="0" applyNumberFormat="1" applyFont="1" applyFill="1" applyBorder="1" applyAlignment="1">
      <x:alignment horizontal="left" wrapText="1"/>
    </x:xf>
    <x:xf numFmtId="0" fontId="2" fillId="2" borderId="1" xfId="0" applyNumberFormat="1" applyFont="1" applyFill="1" applyBorder="1" applyAlignment="1">
      <x:alignment horizontal="right" wrapText="1"/>
    </x:xf>
    <x:xf numFmtId="0" fontId="2" fillId="2" borderId="1" xfId="0" applyNumberFormat="1" applyFont="1" applyFill="1" applyBorder="1" applyAlignment="1">
      <x:alignment horizontal="left" vertical="center" wrapText="1"/>
    </x:xf>
    <x:xf numFmtId="0" fontId="2" fillId="2" borderId="1" xfId="0" applyNumberFormat="1" applyFont="1" applyFill="1" applyBorder="1" applyAlignment="1">
      <x:alignment horizontal="right" vertical="center" wrapText="1"/>
    </x:xf>
    <x:xf numFmtId="0" fontId="1" fillId="3" borderId="0" xfId="0" applyNumberFormat="1" applyFont="1" applyFill="1" applyBorder="1" applyAlignment="1">
      <x:alignment horizontal="left" wrapText="1"/>
    </x:xf>
    <x:xf numFmtId="0" fontId="1" fillId="3" borderId="0" xfId="0" applyNumberFormat="1" applyFont="1" applyFill="1" applyBorder="1" applyAlignment="1">
      <x:alignment horizontal="right" wrapText="1"/>
    </x:xf>
    <x:xf numFmtId="0" fontId="1" fillId="3" borderId="0" xfId="0" applyNumberFormat="1" applyFont="1" applyFill="1" applyBorder="1" applyAlignment="1">
      <x:alignment horizontal="left" vertical="center" wrapText="1"/>
    </x:xf>
    <x:xf numFmtId="0" fontId="1" fillId="3" borderId="0" xfId="0" applyNumberFormat="1" applyFont="1" applyFill="1" applyBorder="1" applyAlignment="1">
      <x:alignment horizontal="right" vertical="center" wrapText="1"/>
    </x:xf>
    <x:xf numFmtId="0" fontId="1" fillId="3" borderId="1" xfId="0" applyNumberFormat="1" applyFont="1" applyFill="1" applyBorder="1" applyAlignment="1">
      <x:alignment horizontal="left" wrapText="1"/>
    </x:xf>
    <x:xf numFmtId="0" fontId="1" fillId="3" borderId="1" xfId="0" applyNumberFormat="1" applyFont="1" applyFill="1" applyBorder="1" applyAlignment="1">
      <x:alignment horizontal="right" wrapText="1"/>
    </x:xf>
    <x:xf numFmtId="0" fontId="1" fillId="3" borderId="1" xfId="0" applyNumberFormat="1" applyFont="1" applyFill="1" applyBorder="1" applyAlignment="1">
      <x:alignment horizontal="left" vertical="center" wrapText="1"/>
    </x:xf>
    <x:xf numFmtId="0" fontId="1" fillId="3" borderId="1" xfId="0" applyNumberFormat="1" applyFont="1" applyFill="1" applyBorder="1" applyAlignment="1">
      <x:alignment horizontal="right" vertical="center" wrapText="1"/>
    </x:xf>
    <x:xf numFmtId="0" fontId="1" fillId="4" borderId="0" xfId="0" applyNumberFormat="1" applyFont="1" applyFill="1" applyBorder="1" applyAlignment="1">
      <x:alignment horizontal="left" wrapText="1"/>
    </x:xf>
    <x:xf numFmtId="0" fontId="1" fillId="4" borderId="0" xfId="0" applyNumberFormat="1" applyFont="1" applyFill="1" applyBorder="1" applyAlignment="1">
      <x:alignment horizontal="righ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right" wrapText="1"/>
    </x:xf>
    <x:xf numFmtId="0" fontId="1" fillId="4" borderId="1" xfId="0" applyNumberFormat="1" applyFont="1" applyFill="1" applyBorder="1" applyAlignment="1">
      <x:alignment horizontal="left" wrapText="1"/>
    </x:xf>
    <x:xf numFmtId="0" fontId="1" fillId="4" borderId="1" xfId="0" applyNumberFormat="1" applyFont="1" applyFill="1" applyBorder="1" applyAlignment="1">
      <x:alignment horizontal="right" wrapText="1"/>
    </x:xf>
    <x:xf numFmtId="0" fontId="3" fillId="4" borderId="1" xfId="0" applyNumberFormat="1" applyFont="1" applyFill="1" applyBorder="1" applyAlignment="1">
      <x:alignment horizontal="left" wrapText="1"/>
    </x:xf>
    <x:xf numFmtId="0" fontId="3" fillId="4" borderId="1" xfId="0" applyNumberFormat="1" applyFont="1" applyFill="1" applyBorder="1" applyAlignment="1">
      <x:alignment horizontal="right" wrapText="1"/>
    </x:xf>
    <x:xf numFmtId="0" fontId="1" fillId="5" borderId="0" xfId="0" applyNumberFormat="1" applyFont="1" applyFill="1" applyBorder="1" applyAlignment="1">
      <x:alignment horizontal="left" wrapText="1"/>
    </x:xf>
    <x:xf numFmtId="0" fontId="1" fillId="5" borderId="1" xfId="0" applyNumberFormat="1" applyFont="1" applyFill="1" applyBorder="1" applyAlignment="1">
      <x:alignment horizontal="left" wrapText="1"/>
    </x:xf>
    <x:xf numFmtId="200" fontId="1" fillId="5" borderId="0" xfId="0" applyNumberFormat="1" applyFont="1" applyFill="1" applyBorder="1" applyAlignment="1">
      <x:alignment horizontal="left" wrapText="1"/>
    </x:xf>
    <x:xf numFmtId="200" fontId="1" fillId="5" borderId="1" xfId="0" applyNumberFormat="1" applyFont="1" applyFill="1" applyBorder="1" applyAlignment="1">
      <x:alignment horizontal="left" wrapText="1"/>
    </x:xf>
    <x:xf numFmtId="201" fontId="1" fillId="5" borderId="0" xfId="0" applyNumberFormat="1" applyFont="1" applyFill="1" applyBorder="1" applyAlignment="1">
      <x:alignment horizontal="left" wrapText="1"/>
    </x:xf>
    <x:xf numFmtId="201" fontId="1" fillId="5" borderId="1" xfId="0" applyNumberFormat="1" applyFont="1" applyFill="1" applyBorder="1" applyAlignment="1">
      <x:alignment horizontal="left" wrapText="1"/>
    </x:xf>
    <x:xf numFmtId="202" fontId="1" fillId="0" borderId="0" xfId="0" applyNumberFormat="1" applyFont="1" applyFill="1" applyBorder="1" applyAlignment="1">
      <x:alignment horizontal="left" wrapText="1"/>
    </x:xf>
    <x:xf numFmtId="202" fontId="1" fillId="0" borderId="1" xfId="0" applyNumberFormat="1" applyFont="1" applyFill="1" applyBorder="1" applyAlignment="1">
      <x:alignment horizontal="left" wrapText="1"/>
    </x:xf>
    <x:xf numFmtId="203" fontId="1" fillId="0" borderId="0" xfId="0" applyNumberFormat="1" applyFont="1" applyFill="1" applyBorder="1" applyAlignment="1">
      <x:alignment horizontal="left" wrapText="1"/>
    </x:xf>
    <x:xf numFmtId="203" fontId="1" fillId="0" borderId="1" xfId="0" applyNumberFormat="1" applyFont="1" applyFill="1" applyBorder="1" applyAlignment="1">
      <x:alignment horizontal="left" wrapText="1"/>
    </x:xf>
    <x:xf numFmtId="200" fontId="1" fillId="0" borderId="0" xfId="0" applyNumberFormat="1" applyFont="1" applyFill="1" applyBorder="1" applyAlignment="1">
      <x:alignment horizontal="left" wrapText="1"/>
    </x:xf>
    <x:xf numFmtId="200" fontId="1" fillId="0" borderId="1" xfId="0" applyNumberFormat="1" applyFont="1" applyFill="1" applyBorder="1" applyAlignment="1">
      <x:alignment horizontal="left" wrapText="1"/>
    </x:xf>
    <x:xf numFmtId="0" fontId="1" fillId="6" borderId="0" xfId="0" applyNumberFormat="1" applyFont="1" applyFill="1" applyBorder="1" applyAlignment="1">
      <x:alignment horizontal="left" wrapText="1"/>
    </x:xf>
    <x:xf numFmtId="202" fontId="1" fillId="6" borderId="0" xfId="0" applyNumberFormat="1" applyFont="1" applyFill="1" applyBorder="1" applyAlignment="1">
      <x:alignment horizontal="left" wrapText="1"/>
    </x:xf>
    <x:xf numFmtId="0" fontId="1" fillId="6" borderId="0" xfId="0" applyNumberFormat="1" applyFont="1" applyFill="1" applyBorder="1" applyAlignment="1">
      <x:alignment horizontal="right" wrapText="1"/>
    </x:xf>
    <x:xf numFmtId="0" fontId="1" fillId="6" borderId="1" xfId="0" applyNumberFormat="1" applyFont="1" applyFill="1" applyBorder="1" applyAlignment="1">
      <x:alignment horizontal="left" wrapText="1"/>
    </x:xf>
    <x:xf numFmtId="202" fontId="1" fillId="6" borderId="1" xfId="0" applyNumberFormat="1" applyFont="1" applyFill="1" applyBorder="1" applyAlignment="1">
      <x:alignment horizontal="left" wrapText="1"/>
    </x:xf>
    <x:xf numFmtId="0" fontId="1" fillId="6" borderId="1" xfId="0" applyNumberFormat="1" applyFont="1" applyFill="1" applyBorder="1" applyAlignment="1">
      <x:alignment horizontal="right" wrapText="1"/>
    </x:xf>
    <x:xf numFmtId="0" fontId="4" fillId="6" borderId="0" xfId="0" applyNumberFormat="1" applyFont="1" applyFill="1" applyBorder="1" applyAlignment="1">
      <x:alignment horizontal="left" wrapText="1"/>
    </x:xf>
    <x:xf numFmtId="202" fontId="4" fillId="6" borderId="0" xfId="0" applyNumberFormat="1" applyFont="1" applyFill="1" applyBorder="1" applyAlignment="1">
      <x:alignment horizontal="left" wrapText="1"/>
    </x:xf>
    <x:xf numFmtId="0" fontId="4" fillId="6" borderId="0" xfId="0" applyNumberFormat="1" applyFont="1" applyFill="1" applyBorder="1" applyAlignment="1">
      <x:alignment horizontal="right" wrapText="1"/>
    </x:xf>
    <x:xf numFmtId="0" fontId="4" fillId="6" borderId="1" xfId="0" applyNumberFormat="1" applyFont="1" applyFill="1" applyBorder="1" applyAlignment="1">
      <x:alignment horizontal="left" wrapText="1"/>
    </x:xf>
    <x:xf numFmtId="202" fontId="4" fillId="6" borderId="1" xfId="0" applyNumberFormat="1" applyFont="1" applyFill="1" applyBorder="1" applyAlignment="1">
      <x:alignment horizontal="left" wrapText="1"/>
    </x:xf>
    <x:xf numFmtId="0" fontId="4" fillId="6" borderId="1" xfId="0" applyNumberFormat="1" applyFont="1" applyFill="1" applyBorder="1" applyAlignment="1">
      <x:alignment horizontal="right" wrapText="1"/>
    </x:xf>
    <x:xf numFmtId="202" fontId="1" fillId="0" borderId="0" xfId="0" applyNumberFormat="1" applyFont="1" applyFill="1" applyBorder="1" applyAlignment="1">
      <x:alignment horizontal="right" wrapText="1"/>
    </x:xf>
    <x:xf numFmtId="202" fontId="1" fillId="0" borderId="1" xfId="0" applyNumberFormat="1" applyFont="1" applyFill="1" applyBorder="1" applyAlignment="1">
      <x:alignment horizontal="right" wrapText="1"/>
    </x:xf>
    <x:xf numFmtId="0" fontId="3"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right" vertical="center" wrapText="1"/>
    </x:xf>
    <x:xf numFmtId="0" fontId="3" fillId="4" borderId="1" xfId="0" applyNumberFormat="1" applyFont="1" applyFill="1" applyBorder="1" applyAlignment="1">
      <x:alignment horizontal="left" vertical="center" wrapText="1"/>
    </x:xf>
    <x:xf numFmtId="0" fontId="3" fillId="4" borderId="1" xfId="0" applyNumberFormat="1" applyFont="1" applyFill="1" applyBorder="1" applyAlignment="1">
      <x:alignment horizontal="right" vertical="center" wrapText="1"/>
    </x:xf>
    <x:xf numFmtId="0" fontId="5" fillId="0" borderId="0" xfId="0" applyNumberFormat="1" applyFont="1" applyFill="1" applyBorder="1" applyAlignment="1">
      <x:alignment horizontal="left" wrapText="1"/>
    </x:xf>
    <x:xf numFmtId="0" fontId="5" fillId="0" borderId="0"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25d77956a646fc" /><Relationship Type="http://schemas.openxmlformats.org/officeDocument/2006/relationships/theme" Target="/xl/theme/theme1.xml" Id="R1e4d5dd7bd754340" /><Relationship Type="http://schemas.openxmlformats.org/officeDocument/2006/relationships/sharedStrings" Target="/xl/sharedStrings.xml" Id="Raf4bad6637924e2b" /><Relationship Type="http://schemas.openxmlformats.org/officeDocument/2006/relationships/worksheet" Target="/xl/worksheets/sheet1.xml" Id="R14a9098467874535" /><Relationship Type="http://schemas.openxmlformats.org/officeDocument/2006/relationships/worksheet" Target="/xl/worksheets/sheet2.xml" Id="R1a92585ee0154819" /><Relationship Type="http://schemas.openxmlformats.org/officeDocument/2006/relationships/worksheet" Target="/xl/worksheets/sheet3.xml" Id="Rb89ed669e0a844fc" /><Relationship Type="http://schemas.openxmlformats.org/officeDocument/2006/relationships/worksheet" Target="/xl/worksheets/sheet4.xml" Id="Re3829fe0213945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f93959aa659e4c4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cost by workload scenario (TU)</a:t>
            </a:r>
          </a:p>
        </c:rich>
      </c:tx>
    </c:title>
    <c:plotArea>
      <c:barChart>
        <c:barDir val="col"/>
        <c:grouping val="clustered"/>
        <c:varyColors val="0"/>
        <c:ser>
          <c:idx val="0"/>
          <c:order val="0"/>
          <c:tx>
            <c:v>Always-on</c:v>
          </c:tx>
          <c:cat>
            <c:strRef>
              <c:f>'Sensitivity'!$A$6:$A$15</c:f>
              <c:strCache>
                <c:ptCount val="0"/>
              </c:strCache>
            </c:strRef>
          </c:cat>
          <c:val>
            <c:numRef>
              <c:f>'Sensitivity'!$B$6:$B$15</c:f>
              <c:numCache>
                <c:formatCode>#,##0</c:formatCode>
                <c:ptCount val="0"/>
              </c:numCache>
            </c:numRef>
          </c:val>
        </c:ser>
        <c:ser>
          <c:idx val="1"/>
          <c:order val="1"/>
          <c:tx>
            <c:v>Scheduled</c:v>
          </c:tx>
          <c:cat>
            <c:strRef>
              <c:f>'Sensitivity'!$A$6:$A$15</c:f>
              <c:strCache>
                <c:ptCount val="0"/>
              </c:strCache>
            </c:strRef>
          </c:cat>
          <c:val>
            <c:numRef>
              <c:f>'Sensitivity'!$C$6:$C$15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Useful work hours/day (discrete scenarios)</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Hypothetical TU/month</a:t>
                </a:r>
              </a:p>
            </c:rich>
          </c:tx>
        </c:title>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22</xdr:row>
      <xdr:rowOff>0</xdr:rowOff>
    </xdr:from>
    <xdr:to>
      <xdr:col>5</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3959aa659e4c4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f52f94cb703d4104" /></Relationships>
</file>

<file path=xl/worksheets/sheet1.xml><?xml version="1.0" encoding="utf-8"?>
<x:worksheet xmlns:x="http://schemas.openxmlformats.org/spreadsheetml/2006/main">
  <x:sheetFormatPr defaultRowHeight="15"/>
  <x:cols>
    <x:col min="1" max="1" width="36" hidden="0" customWidth="1"/>
    <x:col min="2" max="2" width="21" hidden="0" customWidth="1"/>
    <x:col min="3" max="3" width="21" hidden="0" customWidth="1"/>
    <x:col min="4" max="4" width="40" hidden="0" customWidth="1"/>
  </x:cols>
  <x:sheetData>
    <x:row r="1" ht="42" customHeight="1">
      <x:c r="A1" s="14" t="str">
        <x:v>Masar | Cost assumptions</x:v>
      </x:c>
      <x:c r="B1" s="14"/>
      <x:c r="C1" s="14"/>
      <x:c r="D1" s="15" t="str">
        <x:v>مسار | افتراضات التكلفة</x:v>
      </x:c>
    </x:row>
    <x:row r="2" ht="32" customHeight="1">
      <x:c r="A2" s="24" t="str">
        <x:v>Invented teaching units, not provider prices. 100 GiB is a planning assumption, not the fixture size.</x:v>
      </x:c>
      <x:c r="B2" s="24"/>
      <x:c r="C2" s="25" t="str">
        <x:v>وحدات تدريبية افتراضية وليست أسعار سوق. حجم التخطيط لا يمثل حجم عينة الرحلات.</x:v>
      </x:c>
      <x:c r="D2" s="25"/>
    </x:row>
    <x:row r="3" ht="32" customHeight="1">
      <x:c r="A3" s="24"/>
      <x:c r="B3" s="24"/>
      <x:c r="C3" s="25"/>
      <x:c r="D3" s="25"/>
    </x:row>
    <x:row r="4" ht="24" customHeight="1">
      <x:c r="A4" s="6"/>
      <x:c r="B4" s="6"/>
      <x:c r="C4" s="6"/>
      <x:c r="D4" s="8"/>
    </x:row>
    <x:row r="5" ht="32" customHeight="1">
      <x:c r="A5" s="64" t="str">
        <x:v>Parameter</x:v>
      </x:c>
      <x:c r="B5" s="64" t="str">
        <x:v>Editable value</x:v>
      </x:c>
      <x:c r="C5" s="64" t="str">
        <x:v>Unit</x:v>
      </x:c>
      <x:c r="D5" s="65" t="str">
        <x:v>المعامل</x:v>
      </x:c>
    </x:row>
    <x:row r="6" ht="24" customHeight="1">
      <x:c r="A6" s="6" t="str">
        <x:v>Days in planning month</x:v>
      </x:c>
      <x:c r="B6" s="42" t="n">
        <x:v>30</x:v>
      </x:c>
      <x:c r="C6" s="6" t="str">
        <x:v>days</x:v>
      </x:c>
      <x:c r="D6" s="8" t="str">
        <x:v>أيام شهر التخطيط</x:v>
      </x:c>
    </x:row>
    <x:row r="7" ht="24" customHeight="1">
      <x:c r="A7" s="6" t="str">
        <x:v>Available hours per day</x:v>
      </x:c>
      <x:c r="B7" s="42" t="n">
        <x:v>24</x:v>
      </x:c>
      <x:c r="C7" s="6" t="str">
        <x:v>h/day</x:v>
      </x:c>
      <x:c r="D7" s="8" t="str">
        <x:v>الساعات المتاحة في اليوم</x:v>
      </x:c>
    </x:row>
    <x:row r="8" ht="24" customHeight="1">
      <x:c r="A8" s="6" t="str">
        <x:v>Allocated cores</x:v>
      </x:c>
      <x:c r="B8" s="42" t="n">
        <x:v>4</x:v>
      </x:c>
      <x:c r="C8" s="6" t="str">
        <x:v>cores</x:v>
      </x:c>
      <x:c r="D8" s="8" t="str">
        <x:v>الأنوية المخصصة</x:v>
      </x:c>
    </x:row>
    <x:row r="9" ht="24" customHeight="1">
      <x:c r="A9" s="6" t="str">
        <x:v>Compute unit price</x:v>
      </x:c>
      <x:c r="B9" s="40" t="n">
        <x:v>0.5</x:v>
      </x:c>
      <x:c r="C9" s="6" t="str">
        <x:v>TU/core-hour</x:v>
      </x:c>
      <x:c r="D9" s="8" t="str">
        <x:v>سعر الحوسبة الافتراضي</x:v>
      </x:c>
    </x:row>
    <x:row r="10" ht="24" customHeight="1">
      <x:c r="A10" s="6" t="str">
        <x:v>Retained storage</x:v>
      </x:c>
      <x:c r="B10" s="40" t="n">
        <x:v>100</x:v>
      </x:c>
      <x:c r="C10" s="6" t="str">
        <x:v>GiB</x:v>
      </x:c>
      <x:c r="D10" s="8" t="str">
        <x:v>التخزين المحتفظ به</x:v>
      </x:c>
    </x:row>
    <x:row r="11" ht="24" customHeight="1">
      <x:c r="A11" s="6" t="str">
        <x:v>Storage unit price</x:v>
      </x:c>
      <x:c r="B11" s="40" t="n">
        <x:v>0.2</x:v>
      </x:c>
      <x:c r="C11" s="6" t="str">
        <x:v>TU/GiB-month</x:v>
      </x:c>
      <x:c r="D11" s="8" t="str">
        <x:v>سعر التخزين الافتراضي</x:v>
      </x:c>
    </x:row>
    <x:row r="12" ht="24" customHeight="1">
      <x:c r="A12" s="6" t="str">
        <x:v>Useful work per day</x:v>
      </x:c>
      <x:c r="B12" s="40" t="n">
        <x:v>2</x:v>
      </x:c>
      <x:c r="C12" s="6" t="str">
        <x:v>h/day</x:v>
      </x:c>
      <x:c r="D12" s="8" t="str">
        <x:v>العمل الفعلي اليومي</x:v>
      </x:c>
    </x:row>
    <x:row r="13" ht="24" customHeight="1">
      <x:c r="A13" s="6" t="str">
        <x:v>Startup per active day</x:v>
      </x:c>
      <x:c r="B13" s="40" t="n">
        <x:v>0.25</x:v>
      </x:c>
      <x:c r="C13" s="6" t="str">
        <x:v>h/day</x:v>
      </x:c>
      <x:c r="D13" s="8" t="str">
        <x:v>وقت البدء لكل يوم نشط</x:v>
      </x:c>
    </x:row>
    <x:row r="14" ht="24" customHeight="1">
      <x:c r="A14" s="6" t="str">
        <x:v>Scheduled extra charges</x:v>
      </x:c>
      <x:c r="B14" s="40" t="n">
        <x:v>30</x:v>
      </x:c>
      <x:c r="C14" s="6" t="str">
        <x:v>TU/month</x:v>
      </x:c>
      <x:c r="D14" s="8" t="str">
        <x:v>مصاريف المجدول الإضافية</x:v>
      </x:c>
    </x:row>
    <x:row r="15" ht="24" customHeight="1">
      <x:c r="A15" s="6" t="str">
        <x:v>Always-on extra charges</x:v>
      </x:c>
      <x:c r="B15" s="40" t="n">
        <x:v>0</x:v>
      </x:c>
      <x:c r="C15" s="6" t="str">
        <x:v>TU/month</x:v>
      </x:c>
      <x:c r="D15" s="8" t="str">
        <x:v>مصاريف المستمر الإضافية</x:v>
      </x:c>
    </x:row>
    <x:row r="16" ht="24" customHeight="1">
      <x:c r="A16" s="6"/>
      <x:c r="B16" s="6"/>
      <x:c r="C16" s="6"/>
      <x:c r="D16" s="8"/>
    </x:row>
    <x:row r="17" ht="24" customHeight="1">
      <x:c r="A17" s="6"/>
      <x:c r="B17" s="6"/>
      <x:c r="C17" s="6"/>
      <x:c r="D17" s="8"/>
    </x:row>
    <x:row r="18" ht="24" customHeight="1">
      <x:c r="A18" s="6" t="str">
        <x:v>Input validation</x:v>
      </x:c>
      <x:c r="B18" s="6" t="str">
        <x:f>IF(AND(B6&gt;0,MOD(B6,1)=0,B8&gt;0,MOD(B8,1)=0,B7&gt;0,B7&lt;=24,MIN(B9:B15)&gt;=0,OR(B12=0,B12+B13&lt;=B7)),"VALID","CHECK INPUTS")</x:f>
        <x:v>VALID</x:v>
      </x:c>
      <x:c r="C18" s="6"/>
      <x:c r="D18" s="8" t="str">
        <x:v>التحقق من المدخلات</x:v>
      </x:c>
    </x:row>
    <x:row r="19" ht="24" customHeight="1">
      <x:c r="A19" s="6"/>
      <x:c r="B19" s="6"/>
      <x:c r="C19" s="6"/>
      <x:c r="D19" s="8"/>
    </x:row>
    <x:row r="20" ht="24" customHeight="1">
      <x:c r="A20" s="6" t="str">
        <x:v>Green cells are editable assumptions. Work plus startup must fit within the day; no startup is billed for zero work. Both schedules retain the same storage. Extra scheduled costs remain payable even when work is zero.
الخلايا الخضراء قابلة للتعديل. يحفظ الخياران التخزين نفسه. تتوقف ساعات البدء عند غياب العمل، لكن المصاريف الثابتة الإضافية تبقى.</x:v>
      </x:c>
      <x:c r="B20" s="6"/>
      <x:c r="C20" s="6"/>
      <x:c r="D20" s="8"/>
    </x:row>
    <x:row r="21" ht="24" customHeight="1">
      <x:c r="A21" s="6"/>
      <x:c r="B21" s="6"/>
      <x:c r="C21" s="6"/>
      <x:c r="D21" s="8"/>
    </x:row>
    <x:row r="22" ht="24" customHeight="1">
      <x:c r="A22" s="6"/>
      <x:c r="B22" s="6"/>
      <x:c r="C22" s="6"/>
      <x:c r="D22" s="8"/>
    </x:row>
    <x:row r="23" ht="24" customHeight="1">
      <x:c r="A23" s="6"/>
      <x:c r="B23" s="6"/>
      <x:c r="C23" s="6"/>
      <x:c r="D23" s="8"/>
    </x:row>
    <x:row r="24" ht="24" customHeight="1">
      <x:c r="A24" s="6"/>
      <x:c r="B24" s="6"/>
      <x:c r="C24" s="6"/>
      <x:c r="D24" s="8"/>
    </x:row>
    <x:row r="25" ht="24" customHeight="1">
      <x:c r="A25" s="6"/>
      <x:c r="B25" s="6"/>
      <x:c r="C25" s="6"/>
      <x:c r="D25" s="8"/>
    </x:row>
    <x:row r="26" ht="24" customHeight="1">
      <x:c r="A26" s="6"/>
      <x:c r="B26" s="6"/>
      <x:c r="C26" s="6"/>
      <x:c r="D26" s="8"/>
    </x:row>
    <x:row r="27" ht="24" customHeight="1">
      <x:c r="A27" s="6"/>
      <x:c r="B27" s="6"/>
      <x:c r="C27" s="6"/>
      <x:c r="D27" s="8"/>
    </x:row>
    <x:row r="28" ht="24" customHeight="1">
      <x:c r="A28" s="6"/>
      <x:c r="B28" s="6"/>
      <x:c r="C28" s="6"/>
      <x:c r="D28" s="8"/>
    </x:row>
    <x:row r="29" ht="24" customHeight="1">
      <x:c r="A29" s="6"/>
      <x:c r="B29" s="6"/>
      <x:c r="C29" s="6"/>
      <x:c r="D29" s="8"/>
    </x:row>
    <x:row r="30" ht="24" customHeight="1">
      <x:c r="A30" s="6"/>
      <x:c r="B30" s="6"/>
      <x:c r="C30" s="6"/>
      <x:c r="D30" s="8"/>
    </x:row>
    <x:row r="31" ht="24" customHeight="1">
      <x:c r="A31" s="6"/>
      <x:c r="B31" s="6"/>
      <x:c r="C31" s="6"/>
      <x:c r="D31" s="8"/>
    </x:row>
    <x:row r="32" ht="24" customHeight="1">
      <x:c r="A32" s="6"/>
      <x:c r="B32" s="6"/>
      <x:c r="C32" s="6"/>
      <x:c r="D32" s="8"/>
    </x:row>
    <x:row r="33" ht="24" customHeight="1">
      <x:c r="A33" s="6"/>
      <x:c r="B33" s="6"/>
      <x:c r="C33" s="6"/>
      <x:c r="D33" s="8"/>
    </x:row>
    <x:row r="34" ht="24" customHeight="1">
      <x:c r="A34" s="6"/>
      <x:c r="B34" s="6"/>
      <x:c r="C34" s="6"/>
      <x:c r="D34" s="8"/>
    </x:row>
    <x:row r="35" ht="24" customHeight="1">
      <x:c r="A35" s="6"/>
      <x:c r="B35" s="6"/>
      <x:c r="C35" s="6"/>
      <x:c r="D35" s="8"/>
    </x:row>
    <x:row r="36" ht="24" customHeight="1">
      <x:c r="A36" s="6"/>
      <x:c r="B36" s="6"/>
      <x:c r="C36" s="6"/>
      <x:c r="D36" s="8"/>
    </x:row>
    <x:row r="37" ht="24" customHeight="1">
      <x:c r="A37" s="6"/>
      <x:c r="B37" s="6"/>
      <x:c r="C37" s="6"/>
      <x:c r="D37" s="8"/>
    </x:row>
    <x:row r="38" ht="24" customHeight="1">
      <x:c r="A38" s="6"/>
      <x:c r="B38" s="6"/>
      <x:c r="C38" s="6"/>
      <x:c r="D38" s="8"/>
    </x:row>
    <x:row r="39" ht="24" customHeight="1">
      <x:c r="A39" s="6"/>
      <x:c r="B39" s="6"/>
      <x:c r="C39" s="6"/>
      <x:c r="D39" s="8"/>
    </x:row>
    <x:row r="40" ht="24" customHeight="1">
      <x:c r="A40" s="6"/>
      <x:c r="B40" s="6"/>
      <x:c r="C40" s="6"/>
      <x:c r="D40" s="8"/>
    </x:row>
  </x:sheetData>
  <x:mergeCells>
    <x:mergeCell ref="B18:C18"/>
    <x:mergeCell ref="A20:D23"/>
    <x:mergeCell ref="A1:C1"/>
    <x:mergeCell ref="A2:B3"/>
    <x:mergeCell ref="C2:D3"/>
  </x:mergeCells>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21" hidden="0" customWidth="1"/>
    <x:col min="3" max="3" width="21" hidden="0" customWidth="1"/>
    <x:col min="4" max="4" width="40" hidden="0" customWidth="1"/>
  </x:cols>
  <x:sheetData>
    <x:row r="1" ht="42" customHeight="1">
      <x:c r="A1" s="14" t="str">
        <x:v>Masar | Operating costs</x:v>
      </x:c>
      <x:c r="B1" s="14"/>
      <x:c r="C1" s="14"/>
      <x:c r="D1" s="15" t="str">
        <x:v>مسار | تكلفة التشغيل</x:v>
      </x:c>
    </x:row>
    <x:row r="2" ht="32" customHeight="1">
      <x:c r="A2" s="24" t="str">
        <x:v>Operating-schedule comparison only. No cloud bill, Spark benchmark or universal architecture ranking.</x:v>
      </x:c>
      <x:c r="B2" s="24"/>
      <x:c r="C2" s="25" t="str">
        <x:v>مقارنة سياسات تشغيل فقط. لا فاتورة سحابية أو قياس Spark أو ترتيب عام للمعماريات.</x:v>
      </x:c>
      <x:c r="D2" s="25"/>
    </x:row>
    <x:row r="3" ht="32" customHeight="1">
      <x:c r="A3" s="24"/>
      <x:c r="B3" s="24"/>
      <x:c r="C3" s="25"/>
      <x:c r="D3" s="25"/>
    </x:row>
    <x:row r="4" ht="24" customHeight="1">
      <x:c r="A4" s="6"/>
      <x:c r="B4" s="6"/>
      <x:c r="C4" s="6"/>
      <x:c r="D4" s="8"/>
    </x:row>
    <x:row r="5" ht="32" customHeight="1">
      <x:c r="A5" s="64" t="str">
        <x:v>Metric</x:v>
      </x:c>
      <x:c r="B5" s="64" t="str">
        <x:v>Always-on</x:v>
      </x:c>
      <x:c r="C5" s="64" t="str">
        <x:v>Scheduled</x:v>
      </x:c>
      <x:c r="D5" s="65" t="str">
        <x:v>المقياس</x:v>
      </x:c>
    </x:row>
    <x:row r="6" ht="24" customHeight="1">
      <x:c r="A6" s="6" t="str">
        <x:v>Compute hours / month</x:v>
      </x:c>
      <x:c r="B6" s="44" t="n">
        <x:f>IF(Inputs!$B$18="VALID",Inputs!B6*Inputs!B7,"CHECK INPUTS")</x:f>
        <x:v>720</x:v>
      </x:c>
      <x:c r="C6" s="44" t="n">
        <x:f>IF(Inputs!$B$18="VALID",Inputs!B6*IF(Inputs!B12=0,0,Inputs!B12+Inputs!B13),"CHECK INPUTS")</x:f>
        <x:v>67.5</x:v>
      </x:c>
      <x:c r="D6" s="8" t="str">
        <x:v>ساعات الحوسبة الشهرية</x:v>
      </x:c>
    </x:row>
    <x:row r="7" ht="24" customHeight="1">
      <x:c r="A7" s="6" t="str">
        <x:v>Core-hours / month</x:v>
      </x:c>
      <x:c r="B7" s="44" t="n">
        <x:f>IF(Inputs!$B$18="VALID",B6*Inputs!B8,"CHECK INPUTS")</x:f>
        <x:v>2880</x:v>
      </x:c>
      <x:c r="C7" s="44" t="n">
        <x:f>IF(Inputs!$B$18="VALID",C6*Inputs!B8,"CHECK INPUTS")</x:f>
        <x:v>270</x:v>
      </x:c>
      <x:c r="D7" s="8" t="str">
        <x:v>النواة-ساعة الشهرية</x:v>
      </x:c>
    </x:row>
    <x:row r="8" ht="24" customHeight="1">
      <x:c r="A8" s="6" t="str">
        <x:v>Compute cost (TU)</x:v>
      </x:c>
      <x:c r="B8" s="44" t="n">
        <x:f>IF(Inputs!$B$18="VALID",B7*Inputs!B9,"CHECK INPUTS")</x:f>
        <x:v>1440</x:v>
      </x:c>
      <x:c r="C8" s="44" t="n">
        <x:f>IF(Inputs!$B$18="VALID",C7*Inputs!B9,"CHECK INPUTS")</x:f>
        <x:v>135</x:v>
      </x:c>
      <x:c r="D8" s="8" t="str">
        <x:v>تكلفة الحوسبة</x:v>
      </x:c>
    </x:row>
    <x:row r="9" ht="24" customHeight="1">
      <x:c r="A9" s="6" t="str">
        <x:v>Storage cost (TU)</x:v>
      </x:c>
      <x:c r="B9" s="44" t="n">
        <x:f>IF(Inputs!$B$18="VALID",Inputs!B10*Inputs!B11,"CHECK INPUTS")</x:f>
        <x:v>20</x:v>
      </x:c>
      <x:c r="C9" s="44" t="n">
        <x:f>IF(Inputs!$B$18="VALID",Inputs!B10*Inputs!B11,"CHECK INPUTS")</x:f>
        <x:v>20</x:v>
      </x:c>
      <x:c r="D9" s="8" t="str">
        <x:v>تكلفة التخزين</x:v>
      </x:c>
    </x:row>
    <x:row r="10" ht="24" customHeight="1">
      <x:c r="A10" s="6" t="str">
        <x:v>Additional cost (TU)</x:v>
      </x:c>
      <x:c r="B10" s="44" t="n">
        <x:f>IF(Inputs!$B$18="VALID",Inputs!B15,"CHECK INPUTS")</x:f>
        <x:v>0</x:v>
      </x:c>
      <x:c r="C10" s="44" t="n">
        <x:f>IF(Inputs!$B$18="VALID",Inputs!B14,"CHECK INPUTS")</x:f>
        <x:v>30</x:v>
      </x:c>
      <x:c r="D10" s="8" t="str">
        <x:v>المصاريف الإضافية</x:v>
      </x:c>
    </x:row>
    <x:row r="11" ht="32" customHeight="1">
      <x:c r="A11" s="56" t="str">
        <x:v>Total cost (TU)</x:v>
      </x:c>
      <x:c r="B11" s="57" t="n">
        <x:f>IF(Inputs!$B$18="VALID",SUM(B8:B10),"CHECK INPUTS")</x:f>
        <x:v>1460</x:v>
      </x:c>
      <x:c r="C11" s="57" t="n">
        <x:f>IF(Inputs!$B$18="VALID",SUM(C8:C10),"CHECK INPUTS")</x:f>
        <x:v>185</x:v>
      </x:c>
      <x:c r="D11" s="58" t="str">
        <x:v>التكلفة الإجمالية</x:v>
      </x:c>
    </x:row>
    <x:row r="12" ht="24" customHeight="1">
      <x:c r="A12" s="6" t="str">
        <x:v>Difference from always-on</x:v>
      </x:c>
      <x:c r="B12" s="44" t="n">
        <x:f>IF(Inputs!$B$18="VALID",B11-B11,"CHECK INPUTS")</x:f>
        <x:v>0</x:v>
      </x:c>
      <x:c r="C12" s="44" t="n">
        <x:f>IF(Inputs!$B$18="VALID",B11-C11,"CHECK INPUTS")</x:f>
        <x:v>1275</x:v>
      </x:c>
      <x:c r="D12" s="8" t="str">
        <x:v>الفرق عن المستمر</x:v>
      </x:c>
    </x:row>
    <x:row r="13" ht="24" customHeight="1">
      <x:c r="A13" s="6" t="str">
        <x:v>Reduction vs always-on</x:v>
      </x:c>
      <x:c r="B13" s="46" t="n">
        <x:f>IF(Inputs!$B$18="VALID",IF(B11=0,"Not defined",0),"CHECK INPUTS")</x:f>
        <x:v>0</x:v>
      </x:c>
      <x:c r="C13" s="46" t="n">
        <x:f>IF(Inputs!$B$18="VALID",IF(B11=0,"Not defined",C12/B11),"CHECK INPUTS")</x:f>
        <x:v>0.8732876712328768</x:v>
      </x:c>
      <x:c r="D13" s="8" t="str">
        <x:v>نسبة الانخفاض عن المستمر</x:v>
      </x:c>
    </x:row>
    <x:row r="14" ht="24" customHeight="1">
      <x:c r="A14" s="6"/>
      <x:c r="B14" s="6"/>
      <x:c r="C14" s="6"/>
      <x:c r="D14" s="8"/>
    </x:row>
    <x:row r="15" ht="24" customHeight="1">
      <x:c r="A15" s="6" t="str">
        <x:v>Break-even work h/day</x:v>
      </x:c>
      <x:c r="B15" s="48" t="n">
        <x:f>IF(Inputs!$B$18&lt;&gt;"VALID","CHECK INPUTS",IF(Inputs!B8*Inputs!B9=0,"Not defined",((B8+Inputs!B15-Inputs!B14)/(Inputs!B8*Inputs!B9))/Inputs!B6-Inputs!B13))</x:f>
        <x:v>23.25</x:v>
      </x:c>
      <x:c r="C15" s="48"/>
      <x:c r="D15" s="8" t="str">
        <x:v>نقطة تعادل ساعات العمل اليومية</x:v>
      </x:c>
    </x:row>
    <x:row r="16" ht="24" customHeight="1">
      <x:c r="A16" s="6"/>
      <x:c r="B16" s="6"/>
      <x:c r="C16" s="6"/>
      <x:c r="D16" s="8"/>
    </x:row>
    <x:row r="17" ht="24" customHeight="1">
      <x:c r="A17" s="6" t="str">
        <x:v>Break-even applies to positive workloads that fit in the available day. An out-of-range threshold is not a feasible operating point. Negative difference means scheduled operation costs MORE.
التعادل صالح ضمن أحمال موجبة تتسع في اليوم. الفرق السالب يعني أن المجدول أعلى تكلفة.</x:v>
      </x:c>
      <x:c r="B17" s="6"/>
      <x:c r="C17" s="6"/>
      <x:c r="D17" s="8"/>
    </x:row>
    <x:row r="18" ht="24" customHeight="1">
      <x:c r="A18" s="6"/>
      <x:c r="B18" s="6"/>
      <x:c r="C18" s="6"/>
      <x:c r="D18" s="8"/>
    </x:row>
    <x:row r="19" ht="24" customHeight="1">
      <x:c r="A19" s="6"/>
      <x:c r="B19" s="6"/>
      <x:c r="C19" s="6"/>
      <x:c r="D19" s="8"/>
    </x:row>
    <x:row r="20" ht="24" customHeight="1">
      <x:c r="A20" s="6"/>
      <x:c r="B20" s="6"/>
      <x:c r="C20" s="6"/>
      <x:c r="D20" s="8"/>
    </x:row>
    <x:row r="21" ht="24" customHeight="1">
      <x:c r="A21" s="6"/>
      <x:c r="B21" s="6"/>
      <x:c r="C21" s="6"/>
      <x:c r="D21" s="8"/>
    </x:row>
    <x:row r="22" ht="24" customHeight="1">
      <x:c r="A22" s="6"/>
      <x:c r="B22" s="6"/>
      <x:c r="C22" s="6"/>
      <x:c r="D22" s="8"/>
    </x:row>
    <x:row r="23" ht="24" customHeight="1">
      <x:c r="A23" s="6"/>
      <x:c r="B23" s="6"/>
      <x:c r="C23" s="6"/>
      <x:c r="D23" s="8"/>
    </x:row>
    <x:row r="24" ht="24" customHeight="1">
      <x:c r="A24" s="6"/>
      <x:c r="B24" s="6"/>
      <x:c r="C24" s="6"/>
      <x:c r="D24" s="8"/>
    </x:row>
    <x:row r="25" ht="24" customHeight="1">
      <x:c r="A25" s="6"/>
      <x:c r="B25" s="6"/>
      <x:c r="C25" s="6"/>
      <x:c r="D25" s="8"/>
    </x:row>
    <x:row r="26" ht="24" customHeight="1">
      <x:c r="A26" s="6"/>
      <x:c r="B26" s="6"/>
      <x:c r="C26" s="6"/>
      <x:c r="D26" s="8"/>
    </x:row>
    <x:row r="27" ht="24" customHeight="1">
      <x:c r="A27" s="6"/>
      <x:c r="B27" s="6"/>
      <x:c r="C27" s="6"/>
      <x:c r="D27" s="8"/>
    </x:row>
    <x:row r="28" ht="24" customHeight="1">
      <x:c r="A28" s="6"/>
      <x:c r="B28" s="6"/>
      <x:c r="C28" s="6"/>
      <x:c r="D28" s="8"/>
    </x:row>
    <x:row r="29" ht="24" customHeight="1">
      <x:c r="A29" s="6"/>
      <x:c r="B29" s="6"/>
      <x:c r="C29" s="6"/>
      <x:c r="D29" s="8"/>
    </x:row>
    <x:row r="30" ht="24" customHeight="1">
      <x:c r="A30" s="6"/>
      <x:c r="B30" s="6"/>
      <x:c r="C30" s="6"/>
      <x:c r="D30" s="8"/>
    </x:row>
    <x:row r="31" ht="24" customHeight="1">
      <x:c r="A31" s="6"/>
      <x:c r="B31" s="6"/>
      <x:c r="C31" s="6"/>
      <x:c r="D31" s="8"/>
    </x:row>
    <x:row r="32" ht="24" customHeight="1">
      <x:c r="A32" s="6"/>
      <x:c r="B32" s="6"/>
      <x:c r="C32" s="6"/>
      <x:c r="D32" s="8"/>
    </x:row>
    <x:row r="33" ht="24" customHeight="1">
      <x:c r="A33" s="6"/>
      <x:c r="B33" s="6"/>
      <x:c r="C33" s="6"/>
      <x:c r="D33" s="8"/>
    </x:row>
    <x:row r="34" ht="24" customHeight="1">
      <x:c r="A34" s="6"/>
      <x:c r="B34" s="6"/>
      <x:c r="C34" s="6"/>
      <x:c r="D34" s="8"/>
    </x:row>
    <x:row r="35" ht="24" customHeight="1">
      <x:c r="A35" s="6"/>
      <x:c r="B35" s="6"/>
      <x:c r="C35" s="6"/>
      <x:c r="D35" s="8"/>
    </x:row>
    <x:row r="36" ht="24" customHeight="1">
      <x:c r="A36" s="6"/>
      <x:c r="B36" s="6"/>
      <x:c r="C36" s="6"/>
      <x:c r="D36" s="8"/>
    </x:row>
    <x:row r="37" ht="24" customHeight="1">
      <x:c r="A37" s="6"/>
      <x:c r="B37" s="6"/>
      <x:c r="C37" s="6"/>
      <x:c r="D37" s="8"/>
    </x:row>
    <x:row r="38" ht="24" customHeight="1">
      <x:c r="A38" s="6"/>
      <x:c r="B38" s="6"/>
      <x:c r="C38" s="6"/>
      <x:c r="D38" s="8"/>
    </x:row>
    <x:row r="39" ht="24" customHeight="1">
      <x:c r="A39" s="6"/>
      <x:c r="B39" s="6"/>
      <x:c r="C39" s="6"/>
      <x:c r="D39" s="8"/>
    </x:row>
    <x:row r="40" ht="24" customHeight="1">
      <x:c r="A40" s="6"/>
      <x:c r="B40" s="6"/>
      <x:c r="C40" s="6"/>
      <x:c r="D40" s="8"/>
    </x:row>
  </x:sheetData>
  <x:mergeCells>
    <x:mergeCell ref="B15:C15"/>
    <x:mergeCell ref="A17:D19"/>
    <x:mergeCell ref="A1:C1"/>
    <x:mergeCell ref="A2:B3"/>
    <x:mergeCell ref="C2:D3"/>
  </x:mergeCells>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21" hidden="0" customWidth="1"/>
    <x:col min="3" max="3" width="21" hidden="0" customWidth="1"/>
    <x:col min="4" max="4" width="40" hidden="0" customWidth="1"/>
  </x:cols>
  <x:sheetData>
    <x:row r="1" ht="42" customHeight="1">
      <x:c r="A1" s="14" t="str">
        <x:v>Masar | Workload scenarios</x:v>
      </x:c>
      <x:c r="B1" s="14"/>
      <x:c r="C1" s="14"/>
      <x:c r="D1" s="15" t="str">
        <x:v>مسار | سيناريوهات الحمل</x:v>
      </x:c>
    </x:row>
    <x:row r="2" ht="32" customHeight="1">
      <x:c r="A2" s="24" t="str">
        <x:v>Hold other assumptions constant. Invalid workload scenarios are shown explicitly, not silently capped.</x:v>
      </x:c>
      <x:c r="B2" s="24"/>
      <x:c r="C2" s="25" t="str">
        <x:v>نثبت بقية الافتراضات. نوضح السيناريو غير الممكن ولا نخفض ساعاته خفية.</x:v>
      </x:c>
      <x:c r="D2" s="25"/>
    </x:row>
    <x:row r="3" ht="32" customHeight="1">
      <x:c r="A3" s="24"/>
      <x:c r="B3" s="24"/>
      <x:c r="C3" s="25"/>
      <x:c r="D3" s="25"/>
    </x:row>
    <x:row r="4" ht="24" customHeight="1">
      <x:c r="A4" s="6"/>
      <x:c r="B4" s="6"/>
      <x:c r="C4" s="6"/>
      <x:c r="D4" s="8"/>
    </x:row>
    <x:row r="5" ht="32" customHeight="1">
      <x:c r="A5" s="64" t="str">
        <x:v>Work h/day
ساعات العمل</x:v>
      </x:c>
      <x:c r="B5" s="64" t="str">
        <x:v>Always-on TU
المستمر</x:v>
      </x:c>
      <x:c r="C5" s="64" t="str">
        <x:v>Scheduled TU
المجدول</x:v>
      </x:c>
      <x:c r="D5" s="65" t="str">
        <x:v>Difference TU
الفرق</x:v>
      </x:c>
    </x:row>
    <x:row r="6" ht="24" customHeight="1">
      <x:c r="A6" s="44" t="n">
        <x:v>0</x:v>
      </x:c>
      <x:c r="B6" s="44" t="n">
        <x:f>IF(AND(Inputs!$B$18="VALID",A6&gt;=0,OR(A6=0,A6+Inputs!$B$13&lt;=Inputs!$B$7)),Model!$B$11,"INVALID")</x:f>
        <x:v>1460</x:v>
      </x:c>
      <x:c r="C6" s="44" t="n">
        <x:f>IF(AND(Inputs!$B$18="VALID",A6&gt;=0,OR(A6=0,A6+Inputs!$B$13&lt;=Inputs!$B$7)),Inputs!$B$6*IF(A6=0,0,A6+Inputs!$B$13)*Inputs!$B$8*Inputs!$B$9+Inputs!$B$10*Inputs!$B$11+Inputs!$B$14,"INVALID")</x:f>
        <x:v>50</x:v>
      </x:c>
      <x:c r="D6" s="62" t="n">
        <x:f>IF(AND(Inputs!$B$18="VALID",A6&gt;=0,OR(A6=0,A6+Inputs!$B$13&lt;=Inputs!$B$7)),B6-C6,"INVALID")</x:f>
        <x:v>1410</x:v>
      </x:c>
    </x:row>
    <x:row r="7" ht="24" customHeight="1">
      <x:c r="A7" s="44" t="n">
        <x:v>1</x:v>
      </x:c>
      <x:c r="B7" s="44" t="n">
        <x:f>IF(AND(Inputs!$B$18="VALID",A7&gt;=0,OR(A7=0,A7+Inputs!$B$13&lt;=Inputs!$B$7)),Model!$B$11,"INVALID")</x:f>
        <x:v>1460</x:v>
      </x:c>
      <x:c r="C7" s="44" t="n">
        <x:f>IF(AND(Inputs!$B$18="VALID",A7&gt;=0,OR(A7=0,A7+Inputs!$B$13&lt;=Inputs!$B$7)),Inputs!$B$6*IF(A7=0,0,A7+Inputs!$B$13)*Inputs!$B$8*Inputs!$B$9+Inputs!$B$10*Inputs!$B$11+Inputs!$B$14,"INVALID")</x:f>
        <x:v>125</x:v>
      </x:c>
      <x:c r="D7" s="62" t="n">
        <x:f>IF(AND(Inputs!$B$18="VALID",A7&gt;=0,OR(A7=0,A7+Inputs!$B$13&lt;=Inputs!$B$7)),B7-C7,"INVALID")</x:f>
        <x:v>1335</x:v>
      </x:c>
    </x:row>
    <x:row r="8" ht="24" customHeight="1">
      <x:c r="A8" s="44" t="n">
        <x:v>2</x:v>
      </x:c>
      <x:c r="B8" s="44" t="n">
        <x:f>IF(AND(Inputs!$B$18="VALID",A8&gt;=0,OR(A8=0,A8+Inputs!$B$13&lt;=Inputs!$B$7)),Model!$B$11,"INVALID")</x:f>
        <x:v>1460</x:v>
      </x:c>
      <x:c r="C8" s="44" t="n">
        <x:f>IF(AND(Inputs!$B$18="VALID",A8&gt;=0,OR(A8=0,A8+Inputs!$B$13&lt;=Inputs!$B$7)),Inputs!$B$6*IF(A8=0,0,A8+Inputs!$B$13)*Inputs!$B$8*Inputs!$B$9+Inputs!$B$10*Inputs!$B$11+Inputs!$B$14,"INVALID")</x:f>
        <x:v>185</x:v>
      </x:c>
      <x:c r="D8" s="62" t="n">
        <x:f>IF(AND(Inputs!$B$18="VALID",A8&gt;=0,OR(A8=0,A8+Inputs!$B$13&lt;=Inputs!$B$7)),B8-C8,"INVALID")</x:f>
        <x:v>1275</x:v>
      </x:c>
    </x:row>
    <x:row r="9" ht="24" customHeight="1">
      <x:c r="A9" s="44" t="n">
        <x:v>4</x:v>
      </x:c>
      <x:c r="B9" s="44" t="n">
        <x:f>IF(AND(Inputs!$B$18="VALID",A9&gt;=0,OR(A9=0,A9+Inputs!$B$13&lt;=Inputs!$B$7)),Model!$B$11,"INVALID")</x:f>
        <x:v>1460</x:v>
      </x:c>
      <x:c r="C9" s="44" t="n">
        <x:f>IF(AND(Inputs!$B$18="VALID",A9&gt;=0,OR(A9=0,A9+Inputs!$B$13&lt;=Inputs!$B$7)),Inputs!$B$6*IF(A9=0,0,A9+Inputs!$B$13)*Inputs!$B$8*Inputs!$B$9+Inputs!$B$10*Inputs!$B$11+Inputs!$B$14,"INVALID")</x:f>
        <x:v>305</x:v>
      </x:c>
      <x:c r="D9" s="62" t="n">
        <x:f>IF(AND(Inputs!$B$18="VALID",A9&gt;=0,OR(A9=0,A9+Inputs!$B$13&lt;=Inputs!$B$7)),B9-C9,"INVALID")</x:f>
        <x:v>1155</x:v>
      </x:c>
    </x:row>
    <x:row r="10" ht="24" customHeight="1">
      <x:c r="A10" s="44" t="n">
        <x:v>8</x:v>
      </x:c>
      <x:c r="B10" s="44" t="n">
        <x:f>IF(AND(Inputs!$B$18="VALID",A10&gt;=0,OR(A10=0,A10+Inputs!$B$13&lt;=Inputs!$B$7)),Model!$B$11,"INVALID")</x:f>
        <x:v>1460</x:v>
      </x:c>
      <x:c r="C10" s="44" t="n">
        <x:f>IF(AND(Inputs!$B$18="VALID",A10&gt;=0,OR(A10=0,A10+Inputs!$B$13&lt;=Inputs!$B$7)),Inputs!$B$6*IF(A10=0,0,A10+Inputs!$B$13)*Inputs!$B$8*Inputs!$B$9+Inputs!$B$10*Inputs!$B$11+Inputs!$B$14,"INVALID")</x:f>
        <x:v>545</x:v>
      </x:c>
      <x:c r="D10" s="62" t="n">
        <x:f>IF(AND(Inputs!$B$18="VALID",A10&gt;=0,OR(A10=0,A10+Inputs!$B$13&lt;=Inputs!$B$7)),B10-C10,"INVALID")</x:f>
        <x:v>915</x:v>
      </x:c>
    </x:row>
    <x:row r="11" ht="24" customHeight="1">
      <x:c r="A11" s="44" t="n">
        <x:v>12</x:v>
      </x:c>
      <x:c r="B11" s="44" t="n">
        <x:f>IF(AND(Inputs!$B$18="VALID",A11&gt;=0,OR(A11=0,A11+Inputs!$B$13&lt;=Inputs!$B$7)),Model!$B$11,"INVALID")</x:f>
        <x:v>1460</x:v>
      </x:c>
      <x:c r="C11" s="44" t="n">
        <x:f>IF(AND(Inputs!$B$18="VALID",A11&gt;=0,OR(A11=0,A11+Inputs!$B$13&lt;=Inputs!$B$7)),Inputs!$B$6*IF(A11=0,0,A11+Inputs!$B$13)*Inputs!$B$8*Inputs!$B$9+Inputs!$B$10*Inputs!$B$11+Inputs!$B$14,"INVALID")</x:f>
        <x:v>785</x:v>
      </x:c>
      <x:c r="D11" s="62" t="n">
        <x:f>IF(AND(Inputs!$B$18="VALID",A11&gt;=0,OR(A11=0,A11+Inputs!$B$13&lt;=Inputs!$B$7)),B11-C11,"INVALID")</x:f>
        <x:v>675</x:v>
      </x:c>
    </x:row>
    <x:row r="12" ht="24" customHeight="1">
      <x:c r="A12" s="44" t="n">
        <x:v>18</x:v>
      </x:c>
      <x:c r="B12" s="44" t="n">
        <x:f>IF(AND(Inputs!$B$18="VALID",A12&gt;=0,OR(A12=0,A12+Inputs!$B$13&lt;=Inputs!$B$7)),Model!$B$11,"INVALID")</x:f>
        <x:v>1460</x:v>
      </x:c>
      <x:c r="C12" s="44" t="n">
        <x:f>IF(AND(Inputs!$B$18="VALID",A12&gt;=0,OR(A12=0,A12+Inputs!$B$13&lt;=Inputs!$B$7)),Inputs!$B$6*IF(A12=0,0,A12+Inputs!$B$13)*Inputs!$B$8*Inputs!$B$9+Inputs!$B$10*Inputs!$B$11+Inputs!$B$14,"INVALID")</x:f>
        <x:v>1145</x:v>
      </x:c>
      <x:c r="D12" s="62" t="n">
        <x:f>IF(AND(Inputs!$B$18="VALID",A12&gt;=0,OR(A12=0,A12+Inputs!$B$13&lt;=Inputs!$B$7)),B12-C12,"INVALID")</x:f>
        <x:v>315</x:v>
      </x:c>
    </x:row>
    <x:row r="13" ht="24" customHeight="1">
      <x:c r="A13" s="44" t="n">
        <x:v>23</x:v>
      </x:c>
      <x:c r="B13" s="44" t="n">
        <x:f>IF(AND(Inputs!$B$18="VALID",A13&gt;=0,OR(A13=0,A13+Inputs!$B$13&lt;=Inputs!$B$7)),Model!$B$11,"INVALID")</x:f>
        <x:v>1460</x:v>
      </x:c>
      <x:c r="C13" s="44" t="n">
        <x:f>IF(AND(Inputs!$B$18="VALID",A13&gt;=0,OR(A13=0,A13+Inputs!$B$13&lt;=Inputs!$B$7)),Inputs!$B$6*IF(A13=0,0,A13+Inputs!$B$13)*Inputs!$B$8*Inputs!$B$9+Inputs!$B$10*Inputs!$B$11+Inputs!$B$14,"INVALID")</x:f>
        <x:v>1445</x:v>
      </x:c>
      <x:c r="D13" s="62" t="n">
        <x:f>IF(AND(Inputs!$B$18="VALID",A13&gt;=0,OR(A13=0,A13+Inputs!$B$13&lt;=Inputs!$B$7)),B13-C13,"INVALID")</x:f>
        <x:v>15</x:v>
      </x:c>
    </x:row>
    <x:row r="14" ht="24" customHeight="1">
      <x:c r="A14" s="44" t="n">
        <x:v>23.25</x:v>
      </x:c>
      <x:c r="B14" s="44" t="n">
        <x:f>IF(AND(Inputs!$B$18="VALID",A14&gt;=0,OR(A14=0,A14+Inputs!$B$13&lt;=Inputs!$B$7)),Model!$B$11,"INVALID")</x:f>
        <x:v>1460</x:v>
      </x:c>
      <x:c r="C14" s="44" t="n">
        <x:f>IF(AND(Inputs!$B$18="VALID",A14&gt;=0,OR(A14=0,A14+Inputs!$B$13&lt;=Inputs!$B$7)),Inputs!$B$6*IF(A14=0,0,A14+Inputs!$B$13)*Inputs!$B$8*Inputs!$B$9+Inputs!$B$10*Inputs!$B$11+Inputs!$B$14,"INVALID")</x:f>
        <x:v>1460</x:v>
      </x:c>
      <x:c r="D14" s="62" t="n">
        <x:f>IF(AND(Inputs!$B$18="VALID",A14&gt;=0,OR(A14=0,A14+Inputs!$B$13&lt;=Inputs!$B$7)),B14-C14,"INVALID")</x:f>
        <x:v>0</x:v>
      </x:c>
    </x:row>
    <x:row r="15" ht="24" customHeight="1">
      <x:c r="A15" s="44" t="n">
        <x:v>23.75</x:v>
      </x:c>
      <x:c r="B15" s="44" t="n">
        <x:f>IF(AND(Inputs!$B$18="VALID",A15&gt;=0,OR(A15=0,A15+Inputs!$B$13&lt;=Inputs!$B$7)),Model!$B$11,"INVALID")</x:f>
        <x:v>1460</x:v>
      </x:c>
      <x:c r="C15" s="44" t="n">
        <x:f>IF(AND(Inputs!$B$18="VALID",A15&gt;=0,OR(A15=0,A15+Inputs!$B$13&lt;=Inputs!$B$7)),Inputs!$B$6*IF(A15=0,0,A15+Inputs!$B$13)*Inputs!$B$8*Inputs!$B$9+Inputs!$B$10*Inputs!$B$11+Inputs!$B$14,"INVALID")</x:f>
        <x:v>1490</x:v>
      </x:c>
      <x:c r="D15" s="62" t="n">
        <x:f>IF(AND(Inputs!$B$18="VALID",A15&gt;=0,OR(A15=0,A15+Inputs!$B$13&lt;=Inputs!$B$7)),B15-C15,"INVALID")</x:f>
        <x:v>-30</x:v>
      </x:c>
    </x:row>
    <x:row r="16" ht="24" customHeight="1">
      <x:c r="A16" s="6"/>
      <x:c r="B16" s="6"/>
      <x:c r="C16" s="6"/>
      <x:c r="D16" s="8"/>
    </x:row>
    <x:row r="17" ht="24" customHeight="1">
      <x:c r="A17" s="6" t="str">
        <x:v>TU = invented teaching units. Inputs exclude provider tariffs, tax, egress, request fees, latency guarantees and actual measured runtime. This table is NOT a production sizing recommendation.
الوحدات افتراضية، ولا يغطي النموذج أسعار المزود أو الضرائب أو نقل البيانات أو الطلبات أو ضمان زمن الاستجابة أو زمن تشغيل فعلي.</x:v>
      </x:c>
      <x:c r="B17" s="6"/>
      <x:c r="C17" s="6"/>
      <x:c r="D17" s="8"/>
    </x:row>
    <x:row r="18" ht="24" customHeight="1">
      <x:c r="A18" s="6"/>
      <x:c r="B18" s="6"/>
      <x:c r="C18" s="6"/>
      <x:c r="D18" s="8"/>
    </x:row>
    <x:row r="19" ht="24" customHeight="1">
      <x:c r="A19" s="6"/>
      <x:c r="B19" s="6"/>
      <x:c r="C19" s="6"/>
      <x:c r="D19" s="8"/>
    </x:row>
    <x:row r="20" ht="24" customHeight="1">
      <x:c r="A20" s="6"/>
      <x:c r="B20" s="6"/>
      <x:c r="C20" s="6"/>
      <x:c r="D20" s="8"/>
    </x:row>
    <x:row r="21" ht="24" customHeight="1">
      <x:c r="A21" s="68" t="str">
        <x:v>Monthly cost by discrete workload scenario (hypothetical TU)</x:v>
      </x:c>
      <x:c r="B21" s="68"/>
      <x:c r="C21" s="68"/>
      <x:c r="D21" s="69"/>
    </x:row>
    <x:row r="22" ht="24" customHeight="1">
      <x:c r="A22" s="6"/>
      <x:c r="B22" s="6"/>
      <x:c r="C22" s="6"/>
      <x:c r="D22" s="8"/>
    </x:row>
    <x:row r="23" ht="24" customHeight="1">
      <x:c r="A23" s="6"/>
      <x:c r="B23" s="6"/>
      <x:c r="C23" s="6"/>
      <x:c r="D23" s="8"/>
    </x:row>
    <x:row r="24" ht="24" customHeight="1">
      <x:c r="A24" s="6"/>
      <x:c r="B24" s="6"/>
      <x:c r="C24" s="6"/>
      <x:c r="D24" s="8"/>
    </x:row>
    <x:row r="25" ht="24" customHeight="1">
      <x:c r="A25" s="6"/>
      <x:c r="B25" s="6"/>
      <x:c r="C25" s="6"/>
      <x:c r="D25" s="8"/>
    </x:row>
    <x:row r="26" ht="24" customHeight="1">
      <x:c r="A26" s="6"/>
      <x:c r="B26" s="6"/>
      <x:c r="C26" s="6"/>
      <x:c r="D26" s="8"/>
    </x:row>
    <x:row r="27" ht="24" customHeight="1">
      <x:c r="A27" s="6"/>
      <x:c r="B27" s="6"/>
      <x:c r="C27" s="6"/>
      <x:c r="D27" s="8"/>
    </x:row>
    <x:row r="28" ht="24" customHeight="1">
      <x:c r="A28" s="6"/>
      <x:c r="B28" s="6"/>
      <x:c r="C28" s="6"/>
      <x:c r="D28" s="8"/>
    </x:row>
    <x:row r="29" ht="24" customHeight="1">
      <x:c r="A29" s="6"/>
      <x:c r="B29" s="6"/>
      <x:c r="C29" s="6"/>
      <x:c r="D29" s="8"/>
    </x:row>
    <x:row r="30" ht="24" customHeight="1">
      <x:c r="A30" s="6"/>
      <x:c r="B30" s="6"/>
      <x:c r="C30" s="6"/>
      <x:c r="D30" s="8"/>
    </x:row>
    <x:row r="31" ht="24" customHeight="1">
      <x:c r="A31" s="6"/>
      <x:c r="B31" s="6"/>
      <x:c r="C31" s="6"/>
      <x:c r="D31" s="8"/>
    </x:row>
    <x:row r="32" ht="24" customHeight="1">
      <x:c r="A32" s="6"/>
      <x:c r="B32" s="6"/>
      <x:c r="C32" s="6"/>
      <x:c r="D32" s="8"/>
    </x:row>
    <x:row r="33" ht="24" customHeight="1">
      <x:c r="A33" s="6"/>
      <x:c r="B33" s="6"/>
      <x:c r="C33" s="6"/>
      <x:c r="D33" s="8"/>
    </x:row>
    <x:row r="34" ht="24" customHeight="1">
      <x:c r="A34" s="6"/>
      <x:c r="B34" s="6"/>
      <x:c r="C34" s="6"/>
      <x:c r="D34" s="8"/>
    </x:row>
    <x:row r="35" ht="24" customHeight="1">
      <x:c r="A35" s="6"/>
      <x:c r="B35" s="6"/>
      <x:c r="C35" s="6"/>
      <x:c r="D35" s="8"/>
    </x:row>
    <x:row r="36" ht="24" customHeight="1">
      <x:c r="A36" s="6"/>
      <x:c r="B36" s="6"/>
      <x:c r="C36" s="6"/>
      <x:c r="D36" s="8"/>
    </x:row>
    <x:row r="37" ht="24" customHeight="1">
      <x:c r="A37" s="6"/>
      <x:c r="B37" s="6"/>
      <x:c r="C37" s="6"/>
      <x:c r="D37" s="8"/>
    </x:row>
    <x:row r="38" ht="24" customHeight="1">
      <x:c r="A38" s="6"/>
      <x:c r="B38" s="6"/>
      <x:c r="C38" s="6"/>
      <x:c r="D38" s="8"/>
    </x:row>
    <x:row r="39" ht="24" customHeight="1">
      <x:c r="A39" s="6"/>
      <x:c r="B39" s="6"/>
      <x:c r="C39" s="6"/>
      <x:c r="D39" s="8"/>
    </x:row>
    <x:row r="40" ht="24" customHeight="1">
      <x:c r="A40" s="6"/>
      <x:c r="B40" s="6"/>
      <x:c r="C40" s="6"/>
      <x:c r="D40" s="8"/>
    </x:row>
  </x:sheetData>
  <x:mergeCells>
    <x:mergeCell ref="A17:D20"/>
    <x:mergeCell ref="A1:C1"/>
    <x:mergeCell ref="A2:B3"/>
    <x:mergeCell ref="C2:D3"/>
    <x:mergeCell ref="A21:D21"/>
  </x:mergeCells>
  <x:pageMargins left="0.7" right="0.7" top="0.75" bottom="0.75" header="0.3" footer="0.3"/>
  <x:drawing xmlns:r="http://schemas.openxmlformats.org/officeDocument/2006/relationships" r:id="Rf52f94cb703d4104"/>
</x:worksheet>
</file>

<file path=xl/worksheets/sheet4.xml><?xml version="1.0" encoding="utf-8"?>
<x:worksheet xmlns:x="http://schemas.openxmlformats.org/spreadsheetml/2006/main">
  <x:sheetFormatPr defaultRowHeight="15"/>
  <x:cols>
    <x:col min="1" max="1" width="36" hidden="0" customWidth="1"/>
    <x:col min="2" max="2" width="21" hidden="0" customWidth="1"/>
    <x:col min="3" max="3" width="21" hidden="0" customWidth="1"/>
    <x:col min="4" max="4" width="40" hidden="0" customWidth="1"/>
  </x:cols>
  <x:sheetData>
    <x:row r="1" ht="42" customHeight="1">
      <x:c r="A1" s="14" t="str">
        <x:v>SDA-DSC-214 | Meaad Al-Marri</x:v>
      </x:c>
      <x:c r="B1" s="14"/>
      <x:c r="C1" s="14"/>
      <x:c r="D1" s="15" t="str">
        <x:v>ميعاد المري | دليل الحساب</x:v>
      </x:c>
    </x:row>
    <x:row r="2" ht="32" customHeight="1">
      <x:c r="A2" s="24" t="str">
        <x:v>Lab 02 Part A only; not an extra final project. The actual Spark measurement remains outstanding.</x:v>
      </x:c>
      <x:c r="B2" s="24"/>
      <x:c r="C2" s="25" t="str">
        <x:v>الجزء أ من المعمل 02 فقط، وليس مشروعًا إضافيًا. يبقى قياس Spark الفعلي غير مكتمل.</x:v>
      </x:c>
      <x:c r="D2" s="25"/>
    </x:row>
    <x:row r="3" ht="32" customHeight="1">
      <x:c r="A3" s="24"/>
      <x:c r="B3" s="24"/>
      <x:c r="C3" s="25"/>
      <x:c r="D3" s="25"/>
    </x:row>
    <x:row r="4" ht="24" customHeight="1">
      <x:c r="A4" s="6"/>
      <x:c r="B4" s="6"/>
      <x:c r="C4" s="6"/>
      <x:c r="D4" s="8"/>
    </x:row>
    <x:row r="5" ht="32" customHeight="1">
      <x:c r="A5" s="64" t="str">
        <x:v>Topic</x:v>
      </x:c>
      <x:c r="B5" s="64" t="str">
        <x:v>Reference / English</x:v>
      </x:c>
      <x:c r="C5" s="64" t="str">
        <x:v>Scope</x:v>
      </x:c>
      <x:c r="D5" s="65" t="str">
        <x:v>الموضوع / العربية</x:v>
      </x:c>
    </x:row>
    <x:row r="6" ht="64" customHeight="1">
      <x:c r="A6" s="6" t="str">
        <x:v>How to use</x:v>
      </x:c>
      <x:c r="B6" s="6" t="str">
        <x:v>Edit Inputs; read Model; test Sensitivity.</x:v>
      </x:c>
      <x:c r="C6" s="6" t="str">
        <x:v>No paid services</x:v>
      </x:c>
      <x:c r="D6" s="8" t="str">
        <x:v>عدّل Inputs واقرأ Model واختبر Sensitivity.</x:v>
      </x:c>
    </x:row>
    <x:row r="7" ht="64" customHeight="1">
      <x:c r="A7" s="6" t="str">
        <x:v>Model assumptions</x:v>
      </x:c>
      <x:c r="B7" s="6" t="str">
        <x:v>Created for teaching; no market-price source.</x:v>
      </x:c>
      <x:c r="C7" s="6" t="str">
        <x:v>Hypothetical</x:v>
      </x:c>
      <x:c r="D7" s="8" t="str">
        <x:v>افتراضات تدريبية وليست أسعار سوق.</x:v>
      </x:c>
    </x:row>
    <x:row r="8" ht="64" customHeight="1">
      <x:c r="A8" s="6" t="str">
        <x:v>Architecture source</x:v>
      </x:c>
      <x:c r="B8" s="6" t="str">
        <x:v>https://docs.snowflake.com/en/user-guide/intro-key-concepts</x:v>
      </x:c>
      <x:c r="C8" s="6" t="str">
        <x:v>Documentation</x:v>
      </x:c>
      <x:c r="D8" s="8" t="str">
        <x:v>الفصل ليس حكرًا على Lakehouse.</x:v>
      </x:c>
    </x:row>
    <x:row r="9" ht="64" customHeight="1">
      <x:c r="A9" s="6" t="str">
        <x:v>Verification evidence</x:v>
      </x:c>
      <x:c r="B9" s="6" t="str">
        <x:v>evidence/workbook_verification.json</x:v>
      </x:c>
      <x:c r="C9" s="6" t="str">
        <x:v>Actual arithmetic</x:v>
      </x:c>
      <x:c r="D9" s="8" t="str">
        <x:v>المقارنة الحسابية مع دفتر بايثون المنفذ.</x:v>
      </x:c>
    </x:row>
    <x:row r="10" ht="64" customHeight="1">
      <x:c r="A10" s="6" t="str">
        <x:v>Runtime boundary</x:v>
      </x:c>
      <x:c r="B10" s="6" t="str">
        <x:v>Spark/Delta and Lab 02 Part B remain unverified.</x:v>
      </x:c>
      <x:c r="C10" s="6" t="str">
        <x:v>Not a benchmark</x:v>
      </x:c>
      <x:c r="D10" s="8" t="str">
        <x:v>لا يُعد ملف الحساب اختبار أداء أو إثبات تشغيل.</x:v>
      </x:c>
    </x:row>
    <x:row r="11" ht="24" customHeight="1">
      <x:c r="A11" s="6"/>
      <x:c r="B11" s="6"/>
      <x:c r="C11" s="6"/>
      <x:c r="D11" s="8"/>
    </x:row>
    <x:row r="12" ht="24" customHeight="1">
      <x:c r="A12" s="6"/>
      <x:c r="B12" s="6"/>
      <x:c r="C12" s="6"/>
      <x:c r="D12" s="8"/>
    </x:row>
    <x:row r="13" ht="24" customHeight="1">
      <x:c r="A13" s="6"/>
      <x:c r="B13" s="6"/>
      <x:c r="C13" s="6"/>
      <x:c r="D13" s="8"/>
    </x:row>
    <x:row r="14" ht="24" customHeight="1">
      <x:c r="A14" s="6"/>
      <x:c r="B14" s="6"/>
      <x:c r="C14" s="6"/>
      <x:c r="D14" s="8"/>
    </x:row>
    <x:row r="15" ht="24" customHeight="1">
      <x:c r="A15" s="6"/>
      <x:c r="B15" s="6"/>
      <x:c r="C15" s="6"/>
      <x:c r="D15" s="8"/>
    </x:row>
    <x:row r="16" ht="24" customHeight="1">
      <x:c r="A16" s="6"/>
      <x:c r="B16" s="6"/>
      <x:c r="C16" s="6"/>
      <x:c r="D16" s="8"/>
    </x:row>
    <x:row r="17" ht="24" customHeight="1">
      <x:c r="A17" s="6"/>
      <x:c r="B17" s="6"/>
      <x:c r="C17" s="6"/>
      <x:c r="D17" s="8"/>
    </x:row>
    <x:row r="18" ht="24" customHeight="1">
      <x:c r="A18" s="6"/>
      <x:c r="B18" s="6"/>
      <x:c r="C18" s="6"/>
      <x:c r="D18" s="8"/>
    </x:row>
    <x:row r="19" ht="24" customHeight="1">
      <x:c r="A19" s="6"/>
      <x:c r="B19" s="6"/>
      <x:c r="C19" s="6"/>
      <x:c r="D19" s="8"/>
    </x:row>
    <x:row r="20" ht="24" customHeight="1">
      <x:c r="A20" s="6"/>
      <x:c r="B20" s="6"/>
      <x:c r="C20" s="6"/>
      <x:c r="D20" s="8"/>
    </x:row>
    <x:row r="21" ht="24" customHeight="1">
      <x:c r="A21" s="6"/>
      <x:c r="B21" s="6"/>
      <x:c r="C21" s="6"/>
      <x:c r="D21" s="8"/>
    </x:row>
    <x:row r="22" ht="24" customHeight="1">
      <x:c r="A22" s="6"/>
      <x:c r="B22" s="6"/>
      <x:c r="C22" s="6"/>
      <x:c r="D22" s="8"/>
    </x:row>
    <x:row r="23" ht="24" customHeight="1">
      <x:c r="A23" s="6"/>
      <x:c r="B23" s="6"/>
      <x:c r="C23" s="6"/>
      <x:c r="D23" s="8"/>
    </x:row>
    <x:row r="24" ht="24" customHeight="1">
      <x:c r="A24" s="6"/>
      <x:c r="B24" s="6"/>
      <x:c r="C24" s="6"/>
      <x:c r="D24" s="8"/>
    </x:row>
    <x:row r="25" ht="24" customHeight="1">
      <x:c r="A25" s="6"/>
      <x:c r="B25" s="6"/>
      <x:c r="C25" s="6"/>
      <x:c r="D25" s="8"/>
    </x:row>
    <x:row r="26" ht="24" customHeight="1">
      <x:c r="A26" s="6"/>
      <x:c r="B26" s="6"/>
      <x:c r="C26" s="6"/>
      <x:c r="D26" s="8"/>
    </x:row>
    <x:row r="27" ht="24" customHeight="1">
      <x:c r="A27" s="6"/>
      <x:c r="B27" s="6"/>
      <x:c r="C27" s="6"/>
      <x:c r="D27" s="8"/>
    </x:row>
    <x:row r="28" ht="24" customHeight="1">
      <x:c r="A28" s="6"/>
      <x:c r="B28" s="6"/>
      <x:c r="C28" s="6"/>
      <x:c r="D28" s="8"/>
    </x:row>
    <x:row r="29" ht="24" customHeight="1">
      <x:c r="A29" s="6"/>
      <x:c r="B29" s="6"/>
      <x:c r="C29" s="6"/>
      <x:c r="D29" s="8"/>
    </x:row>
    <x:row r="30" ht="24" customHeight="1">
      <x:c r="A30" s="6"/>
      <x:c r="B30" s="6"/>
      <x:c r="C30" s="6"/>
      <x:c r="D30" s="8"/>
    </x:row>
    <x:row r="31" ht="24" customHeight="1">
      <x:c r="A31" s="6"/>
      <x:c r="B31" s="6"/>
      <x:c r="C31" s="6"/>
      <x:c r="D31" s="8"/>
    </x:row>
    <x:row r="32" ht="24" customHeight="1">
      <x:c r="A32" s="6"/>
      <x:c r="B32" s="6"/>
      <x:c r="C32" s="6"/>
      <x:c r="D32" s="8"/>
    </x:row>
    <x:row r="33" ht="24" customHeight="1">
      <x:c r="A33" s="6"/>
      <x:c r="B33" s="6"/>
      <x:c r="C33" s="6"/>
      <x:c r="D33" s="8"/>
    </x:row>
    <x:row r="34" ht="24" customHeight="1">
      <x:c r="A34" s="6"/>
      <x:c r="B34" s="6"/>
      <x:c r="C34" s="6"/>
      <x:c r="D34" s="8"/>
    </x:row>
    <x:row r="35" ht="24" customHeight="1">
      <x:c r="A35" s="6"/>
      <x:c r="B35" s="6"/>
      <x:c r="C35" s="6"/>
      <x:c r="D35" s="8"/>
    </x:row>
    <x:row r="36" ht="24" customHeight="1">
      <x:c r="A36" s="6"/>
      <x:c r="B36" s="6"/>
      <x:c r="C36" s="6"/>
      <x:c r="D36" s="8"/>
    </x:row>
    <x:row r="37" ht="24" customHeight="1">
      <x:c r="A37" s="6"/>
      <x:c r="B37" s="6"/>
      <x:c r="C37" s="6"/>
      <x:c r="D37" s="8"/>
    </x:row>
    <x:row r="38" ht="24" customHeight="1">
      <x:c r="A38" s="6"/>
      <x:c r="B38" s="6"/>
      <x:c r="C38" s="6"/>
      <x:c r="D38" s="8"/>
    </x:row>
    <x:row r="39" ht="24" customHeight="1">
      <x:c r="A39" s="6"/>
      <x:c r="B39" s="6"/>
      <x:c r="C39" s="6"/>
      <x:c r="D39" s="8"/>
    </x:row>
    <x:row r="40" ht="24" customHeight="1">
      <x:c r="A40" s="6"/>
      <x:c r="B40" s="6"/>
      <x:c r="C40" s="6"/>
      <x:c r="D40" s="8"/>
    </x:row>
  </x:sheetData>
  <x:mergeCells>
    <x:mergeCell ref="A1:C1"/>
    <x:mergeCell ref="A2:B3"/>
    <x:mergeCell ref="C2:D3"/>
  </x:mergeCells>
  <x:pageMargins left="0.7" right="0.7" top="0.75" bottom="0.75" header="0.3" footer="0.3"/>
</x:worksheet>
</file>